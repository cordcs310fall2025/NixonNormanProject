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doryanacostapalmeros/Desktop/"/>
    </mc:Choice>
  </mc:AlternateContent>
  <xr:revisionPtr revIDLastSave="0" documentId="8_{8C87AFC7-B1B4-3D4D-8D09-B711A5B1778F}" xr6:coauthVersionLast="47" xr6:coauthVersionMax="47" xr10:uidLastSave="{00000000-0000-0000-0000-000000000000}"/>
  <bookViews>
    <workbookView xWindow="-20" yWindow="0" windowWidth="28800" windowHeight="180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G35" i="11"/>
  <c r="H7" i="11"/>
  <c r="I5" i="11" l="1"/>
  <c r="G31" i="11"/>
  <c r="H8" i="11"/>
  <c r="H9" i="11" l="1"/>
  <c r="I6" i="11"/>
  <c r="H22" i="11" l="1"/>
  <c r="G21" i="11"/>
  <c r="H23" i="11"/>
  <c r="H32" i="11"/>
  <c r="H30" i="11"/>
  <c r="H10" i="11"/>
  <c r="H28" i="11"/>
  <c r="H13" i="11"/>
  <c r="J5" i="11"/>
  <c r="K5" i="11" s="1"/>
  <c r="L5" i="11" s="1"/>
  <c r="M5" i="11" s="1"/>
  <c r="N5" i="11" s="1"/>
  <c r="O5" i="11" s="1"/>
  <c r="P5" i="11" s="1"/>
  <c r="I4" i="11"/>
  <c r="H33" i="11" l="1"/>
  <c r="H34" i="11"/>
  <c r="H29" i="11"/>
  <c r="H14" i="11"/>
  <c r="H11" i="11"/>
  <c r="G12" i="11"/>
  <c r="P4" i="11"/>
  <c r="Q5" i="11"/>
  <c r="R5" i="11" s="1"/>
  <c r="S5" i="11" s="1"/>
  <c r="T5" i="11" s="1"/>
  <c r="U5" i="11" s="1"/>
  <c r="V5" i="11" s="1"/>
  <c r="W5" i="11" s="1"/>
  <c r="J6" i="11"/>
  <c r="H20" i="11" l="1"/>
  <c r="H19" i="11"/>
  <c r="H1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<sst xmlns="http://schemas.openxmlformats.org/spreadsheetml/2006/main" count="64" uniqueCount="56">
  <si>
    <t>Nixon Norman</t>
  </si>
  <si>
    <t>Project start:</t>
  </si>
  <si>
    <t>PEAK</t>
  </si>
  <si>
    <t xml:space="preserve">KEY: 1 Ben 2 Doryan 3 Cullen 4 Damon </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</si>
  <si>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</si>
  <si>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</si>
  <si>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</si>
  <si>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</si>
  <si>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</si>
  <si>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</si>
  <si>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</si>
  <si>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</si>
  <si>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</si>
  <si>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Milestone 4 - Work Breakdown</t>
  </si>
  <si>
    <t xml:space="preserve">Gantt Chart </t>
  </si>
  <si>
    <t xml:space="preserve">Presentation </t>
  </si>
  <si>
    <t>1,2,3,4</t>
  </si>
  <si>
    <t xml:space="preserve">Planning Document </t>
  </si>
  <si>
    <t>1,2</t>
  </si>
  <si>
    <t xml:space="preserve">Milestone 4.5 - Backend Infrastructure &amp; Core Functionality </t>
  </si>
  <si>
    <t>Hosting Setup</t>
  </si>
  <si>
    <t>Database Creation</t>
  </si>
  <si>
    <t>PHP Backend Setup</t>
  </si>
  <si>
    <t>Admin Authentication</t>
  </si>
  <si>
    <t>Admin Dashboard</t>
  </si>
  <si>
    <t>Image Upload System</t>
  </si>
  <si>
    <t>Testing &amp; Documentation</t>
  </si>
  <si>
    <t>Planning Document</t>
  </si>
  <si>
    <t>1,3</t>
  </si>
  <si>
    <t xml:space="preserve">Milestone 4.75 - Public-Facing Features &amp; Forms </t>
  </si>
  <si>
    <t>Dynamic Gallery Display</t>
  </si>
  <si>
    <t>Gallery Enhancements</t>
  </si>
  <si>
    <t>Contact Form Integration</t>
  </si>
  <si>
    <t>Contact Form Admin View</t>
  </si>
  <si>
    <t>3,4</t>
  </si>
  <si>
    <t>Booking System Form</t>
  </si>
  <si>
    <t>Booking Backend Proces-</t>
  </si>
  <si>
    <t>Booking Admin Management</t>
  </si>
  <si>
    <t>Cross-Browser Testing</t>
  </si>
  <si>
    <t>2,4</t>
  </si>
  <si>
    <t>Milestone 5 or 6? - Presentations</t>
  </si>
  <si>
    <t>Presentation</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</si>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</sst>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m/d/yy;@"/>
    <numFmt numFmtId="165" formatCode="ddd\,\ m/d/yyyy"/>
    <numFmt numFmtId="166" formatCode="mmm\ d\,\ yyyy"/>
    <numFmt numFmtId="167" formatCode="d"/>
  </numFmts>
  <fonts count="31"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4"/>
      <color rgb="FF1363DF"/>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7">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0" tint="-4.9989318521683403E-2"/>
      </right>
      <top/>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style="thin">
        <color theme="0" tint="-4.9989318521683403E-2"/>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xf numFmtId="44" fontId="4" fillId="0" borderId="0" applyFont="0" applyFill="0" applyBorder="0" applyAlignment="0" applyProtection="0"/>
  </cellStyleXfs>
  <cellXfs count="122">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17" fillId="0" borderId="0" xfId="12" applyFont="1" applyBorder="1">
      <alignment horizontal="left" vertical="center" indent="2"/>
    </xf>
    <xf numFmtId="0" fontId="17" fillId="0" borderId="0" xfId="11" applyFont="1" applyBorder="1" applyAlignment="1">
      <alignment vertical="center"/>
    </xf>
    <xf numFmtId="9" fontId="1" fillId="0" borderId="0" xfId="2" applyFont="1" applyBorder="1" applyAlignment="1">
      <alignment horizontal="center" vertical="center"/>
    </xf>
    <xf numFmtId="164" fontId="17" fillId="0" borderId="0" xfId="10"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1" fillId="2" borderId="0" xfId="2" applyFont="1" applyFill="1" applyBorder="1" applyAlignment="1">
      <alignment horizontal="center" vertical="center"/>
    </xf>
    <xf numFmtId="164" fontId="23"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24" fillId="0" borderId="0" xfId="6" applyFont="1" applyAlignment="1">
      <alignment horizontal="left" vertical="center" indent="1"/>
    </xf>
    <xf numFmtId="0" fontId="27"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44" fontId="4" fillId="0" borderId="4" xfId="13" applyFont="1" applyBorder="1" applyAlignment="1">
      <alignment vertical="center"/>
    </xf>
    <xf numFmtId="0" fontId="3" fillId="2" borderId="0" xfId="0" applyFont="1" applyFill="1" applyAlignment="1">
      <alignment horizontal="center" vertical="center"/>
    </xf>
    <xf numFmtId="0" fontId="3" fillId="2" borderId="22" xfId="0" applyFont="1" applyFill="1" applyBorder="1" applyAlignment="1">
      <alignment horizontal="center" vertical="center"/>
    </xf>
    <xf numFmtId="0" fontId="30" fillId="0" borderId="0" xfId="7" applyFont="1" applyAlignment="1">
      <alignment horizontal="left" vertical="center" indent="1"/>
    </xf>
    <xf numFmtId="0" fontId="17" fillId="3" borderId="6" xfId="11" applyFont="1" applyFill="1" applyBorder="1" applyAlignment="1">
      <alignment horizontal="left" vertical="center"/>
    </xf>
    <xf numFmtId="0" fontId="17" fillId="3" borderId="7" xfId="11" applyFont="1" applyFill="1" applyBorder="1" applyAlignment="1">
      <alignment horizontal="left" vertical="center"/>
    </xf>
    <xf numFmtId="0" fontId="17" fillId="7" borderId="0" xfId="11" applyFont="1" applyFill="1" applyBorder="1" applyAlignment="1">
      <alignment horizontal="left" vertical="center"/>
    </xf>
    <xf numFmtId="0" fontId="17" fillId="4" borderId="5" xfId="11" applyFont="1" applyFill="1" applyBorder="1" applyAlignment="1">
      <alignment horizontal="left" vertical="center"/>
    </xf>
    <xf numFmtId="0" fontId="17" fillId="8" borderId="0" xfId="11" applyFont="1" applyFill="1" applyBorder="1" applyAlignment="1">
      <alignment horizontal="left" vertical="center"/>
    </xf>
    <xf numFmtId="0" fontId="17" fillId="5" borderId="8" xfId="11" applyFont="1" applyFill="1" applyBorder="1" applyAlignment="1">
      <alignment horizontal="left" vertical="center"/>
    </xf>
    <xf numFmtId="0" fontId="17" fillId="9" borderId="0" xfId="11" applyFont="1" applyFill="1" applyBorder="1" applyAlignment="1">
      <alignment horizontal="left" vertical="center"/>
    </xf>
    <xf numFmtId="0" fontId="17" fillId="10" borderId="9" xfId="11" applyFont="1" applyFill="1" applyBorder="1" applyAlignment="1">
      <alignment horizontal="left" vertical="center"/>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4" fillId="2" borderId="21" xfId="0" applyFont="1" applyFill="1" applyBorder="1"/>
    <xf numFmtId="0" fontId="18" fillId="11" borderId="16" xfId="0" applyFont="1" applyFill="1" applyBorder="1" applyAlignment="1">
      <alignment horizontal="center" vertical="center"/>
    </xf>
    <xf numFmtId="0" fontId="25" fillId="0" borderId="0" xfId="0" applyFont="1" applyAlignment="1">
      <alignment horizontal="left"/>
    </xf>
    <xf numFmtId="0" fontId="26"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4" fillId="0" borderId="4" xfId="0" applyFont="1" applyFill="1" applyBorder="1" applyAlignment="1">
      <alignment horizontal="center"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Fill="1" applyBorder="1" applyAlignment="1">
      <alignment horizontal="center" vertical="center"/>
    </xf>
    <xf numFmtId="0" fontId="4" fillId="0" borderId="26" xfId="0" applyFont="1" applyBorder="1" applyAlignment="1">
      <alignment vertical="center"/>
    </xf>
  </cellXfs>
  <cellStyles count="14">
    <cellStyle name="Comma" xfId="4" builtinId="3" customBuiltin="1"/>
    <cellStyle name="Currency" xfId="13" builtinId="4"/>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4" tint="0.39994506668294322"/>
        </patternFill>
      </fill>
      <border>
        <left/>
        <right/>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8" tint="0.59996337778862885"/>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R36"/>
  <sheetViews>
    <sheetView showGridLines="0" tabSelected="1" showRuler="0" zoomScale="50" zoomScaleNormal="61" zoomScalePageLayoutView="70" workbookViewId="0">
      <selection activeCell="BT28" sqref="BT28"/>
    </sheetView>
  </sheetViews>
  <sheetFormatPr baseColWidth="10" defaultColWidth="8.6640625" defaultRowHeight="30" customHeight="1" x14ac:dyDescent="0.15"/>
  <cols>
    <col min="1" max="1" width="2.6640625" style="10"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0.85">
      <c r="A1" s="11"/>
      <c r="B1" s="83" t="s">
        <v>0</v>
      </c>
      <c r="C1" s="13"/>
      <c r="D1" s="14"/>
      <c r="E1" s="15"/>
      <c r="F1" s="16"/>
      <c r="H1" s="1"/>
      <c r="I1" s="112" t="s">
        <v>1</v>
      </c>
      <c r="J1" s="113"/>
      <c r="K1" s="113"/>
      <c r="L1" s="113"/>
      <c r="M1" s="113"/>
      <c r="N1" s="113"/>
      <c r="O1" s="113"/>
      <c r="P1" s="19"/>
      <c r="Q1" s="111" t="str">
        <f xml:space="preserve"> "11/1/2025"</f>
        <v>11/1/2025</v>
      </c>
      <c r="R1" s="110"/>
      <c r="S1" s="110"/>
      <c r="T1" s="110"/>
      <c r="U1" s="110"/>
      <c r="V1" s="110"/>
      <c r="W1" s="110"/>
      <c r="X1" s="110"/>
      <c r="Y1" s="110"/>
      <c r="Z1" s="110"/>
    </row>
    <row r="2" spans="1:64" ht="30" customHeight="1" x14ac:dyDescent="0.4">
      <c r="B2" s="82" t="s">
        <v>2</v>
      </c>
      <c r="C2" s="94" t="s">
        <v>3</v>
      </c>
      <c r="D2" s="17"/>
      <c r="E2" s="18"/>
      <c r="F2" s="17"/>
      <c r="I2" s="112" t="s">
        <v>4</v>
      </c>
      <c r="J2" s="113"/>
      <c r="K2" s="113"/>
      <c r="L2" s="113"/>
      <c r="M2" s="113"/>
      <c r="N2" s="113"/>
      <c r="O2" s="113"/>
      <c r="P2" s="19"/>
      <c r="Q2" s="109">
        <v>1</v>
      </c>
      <c r="R2" s="110"/>
      <c r="S2" s="110"/>
      <c r="T2" s="110"/>
      <c r="U2" s="110"/>
      <c r="V2" s="110"/>
      <c r="W2" s="110"/>
      <c r="X2" s="110"/>
      <c r="Y2" s="110"/>
      <c r="Z2" s="110"/>
    </row>
    <row r="3" spans="1:64" s="21" customFormat="1" ht="30" customHeight="1" x14ac:dyDescent="0.15">
      <c r="A3" s="10"/>
      <c r="B3" s="20" t="s">
        <v>5</v>
      </c>
      <c r="D3" s="22"/>
      <c r="E3" s="23"/>
    </row>
    <row r="4" spans="1:64" s="21" customFormat="1" ht="30" customHeight="1" x14ac:dyDescent="0.15">
      <c r="A4" s="11"/>
      <c r="B4" s="24" t="s">
        <v>6</v>
      </c>
      <c r="E4" s="25"/>
      <c r="I4" s="116">
        <f>I5</f>
        <v>45957</v>
      </c>
      <c r="J4" s="114"/>
      <c r="K4" s="114"/>
      <c r="L4" s="114"/>
      <c r="M4" s="114"/>
      <c r="N4" s="114"/>
      <c r="O4" s="114"/>
      <c r="P4" s="114">
        <f>P5</f>
        <v>45964</v>
      </c>
      <c r="Q4" s="114"/>
      <c r="R4" s="114"/>
      <c r="S4" s="114"/>
      <c r="T4" s="114"/>
      <c r="U4" s="114"/>
      <c r="V4" s="114"/>
      <c r="W4" s="114">
        <f>W5</f>
        <v>45971</v>
      </c>
      <c r="X4" s="114"/>
      <c r="Y4" s="114"/>
      <c r="Z4" s="114"/>
      <c r="AA4" s="114"/>
      <c r="AB4" s="114"/>
      <c r="AC4" s="114"/>
      <c r="AD4" s="114">
        <f>AD5</f>
        <v>45978</v>
      </c>
      <c r="AE4" s="114"/>
      <c r="AF4" s="114"/>
      <c r="AG4" s="114"/>
      <c r="AH4" s="114"/>
      <c r="AI4" s="114"/>
      <c r="AJ4" s="114"/>
      <c r="AK4" s="114">
        <f>AK5</f>
        <v>45985</v>
      </c>
      <c r="AL4" s="114"/>
      <c r="AM4" s="114"/>
      <c r="AN4" s="114"/>
      <c r="AO4" s="114"/>
      <c r="AP4" s="114"/>
      <c r="AQ4" s="114"/>
      <c r="AR4" s="114">
        <f>AR5</f>
        <v>45992</v>
      </c>
      <c r="AS4" s="114"/>
      <c r="AT4" s="114"/>
      <c r="AU4" s="114"/>
      <c r="AV4" s="114"/>
      <c r="AW4" s="114"/>
      <c r="AX4" s="114"/>
      <c r="AY4" s="114">
        <f>AY5</f>
        <v>45999</v>
      </c>
      <c r="AZ4" s="114"/>
      <c r="BA4" s="114"/>
      <c r="BB4" s="114"/>
      <c r="BC4" s="114"/>
      <c r="BD4" s="114"/>
      <c r="BE4" s="114"/>
      <c r="BF4" s="114">
        <f>BF5</f>
        <v>46006</v>
      </c>
      <c r="BG4" s="114"/>
      <c r="BH4" s="114"/>
      <c r="BI4" s="114"/>
      <c r="BJ4" s="114"/>
      <c r="BK4" s="114"/>
      <c r="BL4" s="115"/>
    </row>
    <row r="5" spans="1:64" s="21" customFormat="1" ht="15" customHeight="1" x14ac:dyDescent="0.15">
      <c r="A5" s="103"/>
      <c r="B5" s="104" t="s">
        <v>7</v>
      </c>
      <c r="C5" s="106" t="s">
        <v>8</v>
      </c>
      <c r="D5" s="108" t="s">
        <v>9</v>
      </c>
      <c r="E5" s="108" t="s">
        <v>10</v>
      </c>
      <c r="F5" s="108" t="s">
        <v>11</v>
      </c>
      <c r="I5" s="26">
        <f>Project_Start-WEEKDAY(Project_Start,1)+2+7*(Display_Week-1)</f>
        <v>45957</v>
      </c>
      <c r="J5" s="26">
        <f>I5+1</f>
        <v>45958</v>
      </c>
      <c r="K5" s="26">
        <f t="shared" ref="K5:AX5" si="0">J5+1</f>
        <v>45959</v>
      </c>
      <c r="L5" s="26">
        <f t="shared" si="0"/>
        <v>45960</v>
      </c>
      <c r="M5" s="26">
        <f t="shared" si="0"/>
        <v>45961</v>
      </c>
      <c r="N5" s="26">
        <f t="shared" si="0"/>
        <v>45962</v>
      </c>
      <c r="O5" s="27">
        <f t="shared" si="0"/>
        <v>45963</v>
      </c>
      <c r="P5" s="28">
        <f>O5+1</f>
        <v>45964</v>
      </c>
      <c r="Q5" s="26">
        <f>P5+1</f>
        <v>45965</v>
      </c>
      <c r="R5" s="26">
        <f t="shared" si="0"/>
        <v>45966</v>
      </c>
      <c r="S5" s="26">
        <f t="shared" si="0"/>
        <v>45967</v>
      </c>
      <c r="T5" s="26">
        <f t="shared" si="0"/>
        <v>45968</v>
      </c>
      <c r="U5" s="26">
        <f t="shared" si="0"/>
        <v>45969</v>
      </c>
      <c r="V5" s="27">
        <f t="shared" si="0"/>
        <v>45970</v>
      </c>
      <c r="W5" s="28">
        <f>V5+1</f>
        <v>45971</v>
      </c>
      <c r="X5" s="26">
        <f>W5+1</f>
        <v>45972</v>
      </c>
      <c r="Y5" s="26">
        <f t="shared" si="0"/>
        <v>45973</v>
      </c>
      <c r="Z5" s="26">
        <f t="shared" si="0"/>
        <v>45974</v>
      </c>
      <c r="AA5" s="26">
        <f t="shared" si="0"/>
        <v>45975</v>
      </c>
      <c r="AB5" s="26">
        <f t="shared" si="0"/>
        <v>45976</v>
      </c>
      <c r="AC5" s="27">
        <f t="shared" si="0"/>
        <v>45977</v>
      </c>
      <c r="AD5" s="28">
        <f>AC5+1</f>
        <v>45978</v>
      </c>
      <c r="AE5" s="26">
        <f>AD5+1</f>
        <v>45979</v>
      </c>
      <c r="AF5" s="26">
        <f t="shared" si="0"/>
        <v>45980</v>
      </c>
      <c r="AG5" s="26">
        <f t="shared" si="0"/>
        <v>45981</v>
      </c>
      <c r="AH5" s="26">
        <f t="shared" si="0"/>
        <v>45982</v>
      </c>
      <c r="AI5" s="26">
        <f t="shared" si="0"/>
        <v>45983</v>
      </c>
      <c r="AJ5" s="27">
        <f t="shared" si="0"/>
        <v>45984</v>
      </c>
      <c r="AK5" s="28">
        <f>AJ5+1</f>
        <v>45985</v>
      </c>
      <c r="AL5" s="26">
        <f>AK5+1</f>
        <v>45986</v>
      </c>
      <c r="AM5" s="26">
        <f t="shared" si="0"/>
        <v>45987</v>
      </c>
      <c r="AN5" s="26">
        <f t="shared" si="0"/>
        <v>45988</v>
      </c>
      <c r="AO5" s="26">
        <f t="shared" si="0"/>
        <v>45989</v>
      </c>
      <c r="AP5" s="26">
        <f t="shared" si="0"/>
        <v>45990</v>
      </c>
      <c r="AQ5" s="27">
        <f t="shared" si="0"/>
        <v>45991</v>
      </c>
      <c r="AR5" s="28">
        <f>AQ5+1</f>
        <v>45992</v>
      </c>
      <c r="AS5" s="26">
        <f>AR5+1</f>
        <v>45993</v>
      </c>
      <c r="AT5" s="26">
        <f t="shared" si="0"/>
        <v>45994</v>
      </c>
      <c r="AU5" s="26">
        <f t="shared" si="0"/>
        <v>45995</v>
      </c>
      <c r="AV5" s="26">
        <f t="shared" si="0"/>
        <v>45996</v>
      </c>
      <c r="AW5" s="26">
        <f t="shared" si="0"/>
        <v>45997</v>
      </c>
      <c r="AX5" s="27">
        <f t="shared" si="0"/>
        <v>45998</v>
      </c>
      <c r="AY5" s="28">
        <f>AX5+1</f>
        <v>45999</v>
      </c>
      <c r="AZ5" s="26">
        <f>AY5+1</f>
        <v>46000</v>
      </c>
      <c r="BA5" s="26">
        <f t="shared" ref="BA5:BE5" si="1">AZ5+1</f>
        <v>46001</v>
      </c>
      <c r="BB5" s="26">
        <f t="shared" si="1"/>
        <v>46002</v>
      </c>
      <c r="BC5" s="26">
        <f t="shared" si="1"/>
        <v>46003</v>
      </c>
      <c r="BD5" s="26">
        <f t="shared" si="1"/>
        <v>46004</v>
      </c>
      <c r="BE5" s="27">
        <f t="shared" si="1"/>
        <v>46005</v>
      </c>
      <c r="BF5" s="28">
        <f>BE5+1</f>
        <v>46006</v>
      </c>
      <c r="BG5" s="26">
        <f>BF5+1</f>
        <v>46007</v>
      </c>
      <c r="BH5" s="26">
        <f t="shared" ref="BH5:BL5" si="2">BG5+1</f>
        <v>46008</v>
      </c>
      <c r="BI5" s="26">
        <f t="shared" si="2"/>
        <v>46009</v>
      </c>
      <c r="BJ5" s="26">
        <f t="shared" si="2"/>
        <v>46010</v>
      </c>
      <c r="BK5" s="26">
        <f t="shared" si="2"/>
        <v>46011</v>
      </c>
      <c r="BL5" s="26">
        <f t="shared" si="2"/>
        <v>46012</v>
      </c>
    </row>
    <row r="6" spans="1:64" s="21" customFormat="1" ht="15" customHeight="1" thickBot="1" x14ac:dyDescent="0.2">
      <c r="A6" s="103"/>
      <c r="B6" s="105"/>
      <c r="C6" s="107"/>
      <c r="D6" s="107"/>
      <c r="E6" s="107"/>
      <c r="F6" s="107"/>
      <c r="I6" s="29" t="str">
        <f t="shared" ref="I6:AN6" si="3">LEFT(TEXT(I5,"ddd"),1)</f>
        <v>M</v>
      </c>
      <c r="J6" s="30" t="str">
        <f t="shared" si="3"/>
        <v>T</v>
      </c>
      <c r="K6" s="30" t="str">
        <f t="shared" si="3"/>
        <v>W</v>
      </c>
      <c r="L6" s="30" t="str">
        <f t="shared" si="3"/>
        <v>T</v>
      </c>
      <c r="M6" s="30" t="str">
        <f t="shared" si="3"/>
        <v>F</v>
      </c>
      <c r="N6" s="30" t="str">
        <f t="shared" si="3"/>
        <v>S</v>
      </c>
      <c r="O6" s="30" t="str">
        <f t="shared" si="3"/>
        <v>S</v>
      </c>
      <c r="P6" s="30" t="str">
        <f t="shared" si="3"/>
        <v>M</v>
      </c>
      <c r="Q6" s="30" t="str">
        <f t="shared" si="3"/>
        <v>T</v>
      </c>
      <c r="R6" s="30" t="str">
        <f t="shared" si="3"/>
        <v>W</v>
      </c>
      <c r="S6" s="30" t="str">
        <f t="shared" si="3"/>
        <v>T</v>
      </c>
      <c r="T6" s="30" t="str">
        <f t="shared" si="3"/>
        <v>F</v>
      </c>
      <c r="U6" s="30" t="str">
        <f t="shared" si="3"/>
        <v>S</v>
      </c>
      <c r="V6" s="30" t="str">
        <f t="shared" si="3"/>
        <v>S</v>
      </c>
      <c r="W6" s="30" t="str">
        <f t="shared" si="3"/>
        <v>M</v>
      </c>
      <c r="X6" s="30" t="str">
        <f t="shared" si="3"/>
        <v>T</v>
      </c>
      <c r="Y6" s="30" t="str">
        <f t="shared" si="3"/>
        <v>W</v>
      </c>
      <c r="Z6" s="30" t="str">
        <f t="shared" si="3"/>
        <v>T</v>
      </c>
      <c r="AA6" s="30" t="str">
        <f t="shared" si="3"/>
        <v>F</v>
      </c>
      <c r="AB6" s="30" t="str">
        <f t="shared" si="3"/>
        <v>S</v>
      </c>
      <c r="AC6" s="30" t="str">
        <f t="shared" si="3"/>
        <v>S</v>
      </c>
      <c r="AD6" s="30" t="str">
        <f t="shared" si="3"/>
        <v>M</v>
      </c>
      <c r="AE6" s="30" t="str">
        <f t="shared" si="3"/>
        <v>T</v>
      </c>
      <c r="AF6" s="30" t="str">
        <f t="shared" si="3"/>
        <v>W</v>
      </c>
      <c r="AG6" s="30" t="str">
        <f t="shared" si="3"/>
        <v>T</v>
      </c>
      <c r="AH6" s="30" t="str">
        <f t="shared" si="3"/>
        <v>F</v>
      </c>
      <c r="AI6" s="30" t="str">
        <f t="shared" si="3"/>
        <v>S</v>
      </c>
      <c r="AJ6" s="30" t="str">
        <f t="shared" si="3"/>
        <v>S</v>
      </c>
      <c r="AK6" s="30" t="str">
        <f t="shared" si="3"/>
        <v>M</v>
      </c>
      <c r="AL6" s="30" t="str">
        <f t="shared" si="3"/>
        <v>T</v>
      </c>
      <c r="AM6" s="30" t="str">
        <f t="shared" si="3"/>
        <v>W</v>
      </c>
      <c r="AN6" s="30" t="str">
        <f t="shared" si="3"/>
        <v>T</v>
      </c>
      <c r="AO6" s="30" t="str">
        <f t="shared" ref="AO6:BL6" si="4">LEFT(TEXT(AO5,"ddd"),1)</f>
        <v>F</v>
      </c>
      <c r="AP6" s="30" t="str">
        <f t="shared" si="4"/>
        <v>S</v>
      </c>
      <c r="AQ6" s="30" t="str">
        <f t="shared" si="4"/>
        <v>S</v>
      </c>
      <c r="AR6" s="30" t="str">
        <f t="shared" si="4"/>
        <v>M</v>
      </c>
      <c r="AS6" s="30" t="str">
        <f t="shared" si="4"/>
        <v>T</v>
      </c>
      <c r="AT6" s="30" t="str">
        <f t="shared" si="4"/>
        <v>W</v>
      </c>
      <c r="AU6" s="30" t="str">
        <f t="shared" si="4"/>
        <v>T</v>
      </c>
      <c r="AV6" s="30" t="str">
        <f t="shared" si="4"/>
        <v>F</v>
      </c>
      <c r="AW6" s="30" t="str">
        <f t="shared" si="4"/>
        <v>S</v>
      </c>
      <c r="AX6" s="30" t="str">
        <f t="shared" si="4"/>
        <v>S</v>
      </c>
      <c r="AY6" s="30" t="str">
        <f t="shared" si="4"/>
        <v>M</v>
      </c>
      <c r="AZ6" s="30" t="str">
        <f t="shared" si="4"/>
        <v>T</v>
      </c>
      <c r="BA6" s="30" t="str">
        <f t="shared" si="4"/>
        <v>W</v>
      </c>
      <c r="BB6" s="30" t="str">
        <f t="shared" si="4"/>
        <v>T</v>
      </c>
      <c r="BC6" s="30" t="str">
        <f t="shared" si="4"/>
        <v>F</v>
      </c>
      <c r="BD6" s="30" t="str">
        <f t="shared" si="4"/>
        <v>S</v>
      </c>
      <c r="BE6" s="30" t="str">
        <f t="shared" si="4"/>
        <v>S</v>
      </c>
      <c r="BF6" s="30" t="str">
        <f t="shared" si="4"/>
        <v>M</v>
      </c>
      <c r="BG6" s="30" t="str">
        <f t="shared" si="4"/>
        <v>T</v>
      </c>
      <c r="BH6" s="30" t="str">
        <f t="shared" si="4"/>
        <v>W</v>
      </c>
      <c r="BI6" s="30" t="str">
        <f t="shared" si="4"/>
        <v>T</v>
      </c>
      <c r="BJ6" s="30" t="str">
        <f t="shared" si="4"/>
        <v>F</v>
      </c>
      <c r="BK6" s="30" t="str">
        <f t="shared" si="4"/>
        <v>S</v>
      </c>
      <c r="BL6" s="31" t="str">
        <f t="shared" si="4"/>
        <v>S</v>
      </c>
    </row>
    <row r="7" spans="1:64" s="21" customFormat="1" ht="30" hidden="1" customHeight="1" thickBot="1" x14ac:dyDescent="0.2">
      <c r="A7" s="10" t="s">
        <v>12</v>
      </c>
      <c r="B7" s="32"/>
      <c r="C7" s="33"/>
      <c r="D7" s="32"/>
      <c r="E7" s="32"/>
      <c r="F7" s="32"/>
      <c r="H7" s="21"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row>
    <row r="8" spans="1:64" s="41" customFormat="1" ht="30" customHeight="1" thickBot="1" x14ac:dyDescent="0.2">
      <c r="A8" s="11"/>
      <c r="B8" s="35" t="s">
        <v>13</v>
      </c>
      <c r="C8" s="36"/>
      <c r="D8" s="37"/>
      <c r="E8" s="38"/>
      <c r="F8" s="39"/>
      <c r="G8" s="12"/>
      <c r="H8" s="3" t="str">
        <f t="shared" ref="G8:H35"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117"/>
      <c r="AF8" s="117"/>
      <c r="AG8" s="117"/>
      <c r="AH8" s="117"/>
      <c r="AI8" s="117"/>
      <c r="AJ8" s="117"/>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thickBot="1" x14ac:dyDescent="0.2">
      <c r="A9" s="11"/>
      <c r="B9" s="42" t="s">
        <v>14</v>
      </c>
      <c r="C9" s="95">
        <v>2</v>
      </c>
      <c r="D9" s="43">
        <v>1</v>
      </c>
      <c r="E9" s="44">
        <v>45967</v>
      </c>
      <c r="F9" s="44">
        <v>45971</v>
      </c>
      <c r="G9" s="12"/>
      <c r="H9" s="3">
        <f t="shared" si="5"/>
        <v>5</v>
      </c>
      <c r="I9" s="45"/>
      <c r="J9" s="45"/>
      <c r="K9" s="45"/>
      <c r="L9" s="45"/>
      <c r="M9" s="45"/>
      <c r="N9" s="45"/>
      <c r="O9" s="45"/>
      <c r="P9" s="45"/>
      <c r="Q9" s="45"/>
      <c r="R9" s="45"/>
      <c r="S9" s="45"/>
      <c r="T9" s="45"/>
      <c r="U9" s="45"/>
      <c r="V9" s="45"/>
      <c r="W9" s="45"/>
      <c r="X9" s="45"/>
      <c r="Y9" s="45"/>
      <c r="Z9" s="45"/>
      <c r="AA9" s="45"/>
      <c r="AB9" s="45"/>
      <c r="AC9" s="45"/>
      <c r="AD9" s="118"/>
      <c r="AE9" s="117"/>
      <c r="AF9" s="117"/>
      <c r="AG9" s="117"/>
      <c r="AH9" s="117"/>
      <c r="AI9" s="117"/>
      <c r="AJ9" s="117"/>
      <c r="AK9" s="119"/>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1" customFormat="1" ht="30" customHeight="1" x14ac:dyDescent="0.15">
      <c r="A10" s="11"/>
      <c r="B10" s="46" t="s">
        <v>15</v>
      </c>
      <c r="C10" s="96" t="s">
        <v>16</v>
      </c>
      <c r="D10" s="47">
        <v>1</v>
      </c>
      <c r="E10" s="48">
        <v>45969</v>
      </c>
      <c r="F10" s="48">
        <v>45972</v>
      </c>
      <c r="G10" s="12"/>
      <c r="H10" s="3">
        <f t="shared" si="5"/>
        <v>4</v>
      </c>
      <c r="I10" s="45"/>
      <c r="J10" s="45"/>
      <c r="K10" s="45"/>
      <c r="L10" s="45"/>
      <c r="M10" s="45"/>
      <c r="N10" s="45"/>
      <c r="O10" s="45"/>
      <c r="P10" s="45"/>
      <c r="Q10" s="45"/>
      <c r="R10" s="45"/>
      <c r="S10" s="45"/>
      <c r="T10" s="45"/>
      <c r="U10" s="49"/>
      <c r="V10" s="49"/>
      <c r="W10" s="45"/>
      <c r="X10" s="45"/>
      <c r="Y10" s="45"/>
      <c r="Z10" s="45"/>
      <c r="AA10" s="45"/>
      <c r="AB10" s="45"/>
      <c r="AC10" s="45"/>
      <c r="AD10" s="118"/>
      <c r="AE10" s="117"/>
      <c r="AF10" s="117"/>
      <c r="AG10" s="117"/>
      <c r="AH10" s="117"/>
      <c r="AI10" s="117"/>
      <c r="AJ10" s="117"/>
      <c r="AK10" s="119"/>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1" customFormat="1" ht="30" customHeight="1" x14ac:dyDescent="0.15">
      <c r="A11" s="10"/>
      <c r="B11" s="46" t="s">
        <v>17</v>
      </c>
      <c r="C11" s="96" t="s">
        <v>18</v>
      </c>
      <c r="D11" s="47">
        <v>1</v>
      </c>
      <c r="E11" s="48">
        <v>45962</v>
      </c>
      <c r="F11" s="48">
        <v>45972</v>
      </c>
      <c r="G11" s="12"/>
      <c r="H11" s="3">
        <f t="shared" si="5"/>
        <v>11</v>
      </c>
      <c r="I11" s="45"/>
      <c r="J11" s="45"/>
      <c r="K11" s="45"/>
      <c r="L11" s="45"/>
      <c r="M11" s="45"/>
      <c r="N11" s="45"/>
      <c r="O11" s="45"/>
      <c r="P11" s="45"/>
      <c r="Q11" s="45"/>
      <c r="R11" s="45"/>
      <c r="S11" s="45"/>
      <c r="T11" s="45"/>
      <c r="U11" s="45"/>
      <c r="V11" s="45"/>
      <c r="W11" s="45"/>
      <c r="X11" s="45"/>
      <c r="Y11" s="45"/>
      <c r="Z11" s="45"/>
      <c r="AA11" s="45"/>
      <c r="AB11" s="45"/>
      <c r="AC11" s="45"/>
      <c r="AD11" s="118"/>
      <c r="AE11" s="120"/>
      <c r="AF11" s="120"/>
      <c r="AG11" s="120"/>
      <c r="AH11" s="120"/>
      <c r="AI11" s="120"/>
      <c r="AJ11" s="120"/>
      <c r="AK11" s="119"/>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1" customFormat="1" ht="30" customHeight="1" x14ac:dyDescent="0.15">
      <c r="A12" s="10"/>
      <c r="B12" s="50" t="s">
        <v>19</v>
      </c>
      <c r="C12" s="97"/>
      <c r="D12" s="51"/>
      <c r="E12" s="52"/>
      <c r="F12" s="53"/>
      <c r="G12" s="92" t="str">
        <f t="shared" si="5"/>
        <v/>
      </c>
      <c r="H12" s="92"/>
      <c r="I12" s="92"/>
      <c r="J12" s="92"/>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93"/>
    </row>
    <row r="13" spans="1:64" s="41" customFormat="1" ht="30" customHeight="1" x14ac:dyDescent="0.15">
      <c r="A13" s="10"/>
      <c r="B13" s="54" t="s">
        <v>20</v>
      </c>
      <c r="C13" s="98">
        <v>1</v>
      </c>
      <c r="D13" s="55">
        <v>0</v>
      </c>
      <c r="E13" s="56">
        <v>45976</v>
      </c>
      <c r="F13" s="56">
        <v>45985</v>
      </c>
      <c r="G13" s="12"/>
      <c r="H13" s="3">
        <f t="shared" si="5"/>
        <v>10</v>
      </c>
      <c r="I13" s="45"/>
      <c r="J13" s="45"/>
      <c r="K13" s="45"/>
      <c r="L13" s="45"/>
      <c r="M13" s="45"/>
      <c r="N13" s="45"/>
      <c r="O13" s="45"/>
      <c r="P13" s="45"/>
      <c r="Q13" s="45"/>
      <c r="R13" s="45"/>
      <c r="S13" s="45"/>
      <c r="T13" s="45"/>
      <c r="U13" s="45"/>
      <c r="V13" s="45"/>
      <c r="W13" s="45"/>
      <c r="X13" s="45"/>
      <c r="Y13" s="45"/>
      <c r="Z13" s="45"/>
      <c r="AA13" s="45"/>
      <c r="AB13" s="45"/>
      <c r="AC13" s="45"/>
      <c r="AD13" s="118"/>
      <c r="AE13" s="117"/>
      <c r="AF13" s="117"/>
      <c r="AG13" s="117"/>
      <c r="AH13" s="117"/>
      <c r="AI13" s="117"/>
      <c r="AJ13" s="117"/>
      <c r="AK13" s="119"/>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1" customFormat="1" ht="30" customHeight="1" x14ac:dyDescent="0.15">
      <c r="A14" s="11"/>
      <c r="B14" s="54" t="s">
        <v>21</v>
      </c>
      <c r="C14" s="98">
        <v>1</v>
      </c>
      <c r="D14" s="55">
        <v>1</v>
      </c>
      <c r="E14" s="56">
        <v>45969</v>
      </c>
      <c r="F14" s="56">
        <v>45971</v>
      </c>
      <c r="G14" s="12"/>
      <c r="H14" s="3">
        <f t="shared" si="5"/>
        <v>3</v>
      </c>
      <c r="I14" s="45"/>
      <c r="J14" s="45"/>
      <c r="K14" s="45"/>
      <c r="L14" s="45"/>
      <c r="M14" s="45"/>
      <c r="N14" s="45"/>
      <c r="O14" s="45"/>
      <c r="P14" s="45"/>
      <c r="Q14" s="45"/>
      <c r="R14" s="45"/>
      <c r="S14" s="45"/>
      <c r="T14" s="45"/>
      <c r="U14" s="49"/>
      <c r="V14" s="49"/>
      <c r="W14" s="45"/>
      <c r="X14" s="45"/>
      <c r="Y14" s="45"/>
      <c r="Z14" s="45"/>
      <c r="AA14" s="45"/>
      <c r="AB14" s="45"/>
      <c r="AC14" s="45"/>
      <c r="AD14" s="118"/>
      <c r="AE14" s="117"/>
      <c r="AF14" s="117"/>
      <c r="AG14" s="117"/>
      <c r="AH14" s="117"/>
      <c r="AI14" s="117"/>
      <c r="AJ14" s="117"/>
      <c r="AK14" s="119"/>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1" customFormat="1" ht="30" customHeight="1" x14ac:dyDescent="0.15">
      <c r="A15" s="11"/>
      <c r="B15" s="54" t="s">
        <v>22</v>
      </c>
      <c r="C15" s="98">
        <v>1</v>
      </c>
      <c r="D15" s="55">
        <v>0.4</v>
      </c>
      <c r="E15" s="56">
        <v>45969</v>
      </c>
      <c r="F15" s="56">
        <v>45977</v>
      </c>
      <c r="G15" s="12"/>
      <c r="H15" s="3"/>
      <c r="I15" s="45"/>
      <c r="J15" s="45"/>
      <c r="K15" s="45"/>
      <c r="L15" s="45"/>
      <c r="M15" s="45"/>
      <c r="N15" s="45"/>
      <c r="O15" s="45"/>
      <c r="P15" s="45"/>
      <c r="Q15" s="45"/>
      <c r="R15" s="45"/>
      <c r="S15" s="45"/>
      <c r="T15" s="45"/>
      <c r="U15" s="49"/>
      <c r="V15" s="49"/>
      <c r="W15" s="45"/>
      <c r="X15" s="45"/>
      <c r="Y15" s="45"/>
      <c r="Z15" s="45"/>
      <c r="AA15" s="45"/>
      <c r="AB15" s="45"/>
      <c r="AC15" s="45"/>
      <c r="AD15" s="118"/>
      <c r="AE15" s="117"/>
      <c r="AF15" s="117"/>
      <c r="AG15" s="117"/>
      <c r="AH15" s="117"/>
      <c r="AI15" s="117"/>
      <c r="AJ15" s="117"/>
      <c r="AK15" s="119"/>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1" customFormat="1" ht="30" customHeight="1" x14ac:dyDescent="0.15">
      <c r="A16" s="10"/>
      <c r="B16" s="54" t="s">
        <v>23</v>
      </c>
      <c r="C16" s="98">
        <v>3</v>
      </c>
      <c r="D16" s="55">
        <v>0</v>
      </c>
      <c r="E16" s="56">
        <v>45972</v>
      </c>
      <c r="F16" s="56">
        <v>45981</v>
      </c>
      <c r="G16" s="12"/>
      <c r="H16" s="3"/>
      <c r="I16" s="45"/>
      <c r="J16" s="45"/>
      <c r="K16" s="45"/>
      <c r="L16" s="45"/>
      <c r="M16" s="45"/>
      <c r="N16" s="91"/>
      <c r="O16" s="45"/>
      <c r="P16" s="45"/>
      <c r="Q16" s="45"/>
      <c r="R16" s="45"/>
      <c r="S16" s="45"/>
      <c r="T16" s="45"/>
      <c r="U16" s="49"/>
      <c r="V16" s="49"/>
      <c r="W16" s="45"/>
      <c r="X16" s="45"/>
      <c r="Y16" s="45"/>
      <c r="Z16" s="45"/>
      <c r="AA16" s="45"/>
      <c r="AB16" s="45"/>
      <c r="AC16" s="45"/>
      <c r="AD16" s="118"/>
      <c r="AE16" s="117"/>
      <c r="AF16" s="117"/>
      <c r="AG16" s="117"/>
      <c r="AH16" s="117"/>
      <c r="AI16" s="117"/>
      <c r="AJ16" s="117"/>
      <c r="AK16" s="119"/>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70" s="41" customFormat="1" ht="30" customHeight="1" x14ac:dyDescent="0.15">
      <c r="A17" s="10"/>
      <c r="B17" s="54" t="s">
        <v>24</v>
      </c>
      <c r="C17" s="98">
        <v>3</v>
      </c>
      <c r="D17" s="55">
        <v>0</v>
      </c>
      <c r="E17" s="56">
        <v>45982</v>
      </c>
      <c r="F17" s="56">
        <v>45992</v>
      </c>
      <c r="G17" s="12"/>
      <c r="H17" s="3"/>
      <c r="I17" s="45"/>
      <c r="J17" s="45"/>
      <c r="K17" s="45"/>
      <c r="L17" s="45"/>
      <c r="M17" s="45"/>
      <c r="N17" s="45"/>
      <c r="O17" s="45"/>
      <c r="P17" s="45"/>
      <c r="Q17" s="45"/>
      <c r="R17" s="45"/>
      <c r="S17" s="45"/>
      <c r="T17" s="45"/>
      <c r="U17" s="49"/>
      <c r="V17" s="49"/>
      <c r="W17" s="45"/>
      <c r="X17" s="45"/>
      <c r="Y17" s="45"/>
      <c r="Z17" s="45"/>
      <c r="AA17" s="45"/>
      <c r="AB17" s="45"/>
      <c r="AC17" s="45"/>
      <c r="AD17" s="118"/>
      <c r="AE17" s="117"/>
      <c r="AF17" s="117"/>
      <c r="AG17" s="117"/>
      <c r="AH17" s="117"/>
      <c r="AI17" s="117"/>
      <c r="AJ17" s="117"/>
      <c r="AK17" s="119"/>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R17" s="45"/>
    </row>
    <row r="18" spans="1:70" s="41" customFormat="1" ht="30" customHeight="1" x14ac:dyDescent="0.15">
      <c r="A18" s="10"/>
      <c r="B18" s="54" t="s">
        <v>25</v>
      </c>
      <c r="C18" s="98">
        <v>2</v>
      </c>
      <c r="D18" s="55">
        <v>0</v>
      </c>
      <c r="E18" s="56">
        <v>45974</v>
      </c>
      <c r="F18" s="56">
        <v>45985</v>
      </c>
      <c r="G18" s="12"/>
      <c r="H18" s="3">
        <f t="shared" si="5"/>
        <v>12</v>
      </c>
      <c r="I18" s="45"/>
      <c r="J18" s="45"/>
      <c r="K18" s="45"/>
      <c r="L18" s="45"/>
      <c r="M18" s="45"/>
      <c r="N18" s="45"/>
      <c r="O18" s="45"/>
      <c r="P18" s="45"/>
      <c r="Q18" s="45"/>
      <c r="R18" s="45"/>
      <c r="S18" s="45"/>
      <c r="T18" s="45"/>
      <c r="U18" s="45"/>
      <c r="V18" s="45"/>
      <c r="W18" s="45"/>
      <c r="X18" s="45"/>
      <c r="Y18" s="45"/>
      <c r="Z18" s="45"/>
      <c r="AA18" s="45"/>
      <c r="AB18" s="45"/>
      <c r="AC18" s="45"/>
      <c r="AD18" s="118"/>
      <c r="AE18" s="117"/>
      <c r="AF18" s="117"/>
      <c r="AG18" s="117"/>
      <c r="AH18" s="117"/>
      <c r="AI18" s="117"/>
      <c r="AJ18" s="117"/>
      <c r="AK18" s="119"/>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R18" s="121"/>
    </row>
    <row r="19" spans="1:70" s="41" customFormat="1" ht="30" customHeight="1" x14ac:dyDescent="0.15">
      <c r="A19" s="10"/>
      <c r="B19" s="54" t="s">
        <v>26</v>
      </c>
      <c r="C19" s="98" t="s">
        <v>16</v>
      </c>
      <c r="D19" s="55">
        <v>0</v>
      </c>
      <c r="E19" s="56">
        <v>45992</v>
      </c>
      <c r="F19" s="56">
        <v>45998</v>
      </c>
      <c r="G19" s="12"/>
      <c r="H19" s="3">
        <f t="shared" si="5"/>
        <v>7</v>
      </c>
      <c r="I19" s="45"/>
      <c r="J19" s="45"/>
      <c r="K19" s="45"/>
      <c r="L19" s="45"/>
      <c r="M19" s="45"/>
      <c r="N19" s="45"/>
      <c r="O19" s="45"/>
      <c r="P19" s="45"/>
      <c r="Q19" s="45"/>
      <c r="R19" s="45"/>
      <c r="S19" s="45"/>
      <c r="T19" s="45"/>
      <c r="U19" s="45"/>
      <c r="V19" s="45"/>
      <c r="W19" s="45"/>
      <c r="X19" s="45"/>
      <c r="Y19" s="49"/>
      <c r="Z19" s="45"/>
      <c r="AA19" s="45"/>
      <c r="AB19" s="45"/>
      <c r="AC19" s="45"/>
      <c r="AD19" s="118"/>
      <c r="AE19" s="117"/>
      <c r="AF19" s="117"/>
      <c r="AG19" s="117"/>
      <c r="AH19" s="117"/>
      <c r="AI19" s="117"/>
      <c r="AJ19" s="117"/>
      <c r="AK19" s="119"/>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70" s="41" customFormat="1" ht="30" customHeight="1" x14ac:dyDescent="0.15">
      <c r="A20" s="10"/>
      <c r="B20" s="54" t="s">
        <v>27</v>
      </c>
      <c r="C20" s="98" t="s">
        <v>28</v>
      </c>
      <c r="D20" s="55">
        <v>0</v>
      </c>
      <c r="E20" s="56">
        <v>45992</v>
      </c>
      <c r="F20" s="56">
        <v>45998</v>
      </c>
      <c r="G20" s="12"/>
      <c r="H20" s="3">
        <f t="shared" si="5"/>
        <v>7</v>
      </c>
      <c r="I20" s="45"/>
      <c r="J20" s="45"/>
      <c r="K20" s="45"/>
      <c r="L20" s="45"/>
      <c r="M20" s="45"/>
      <c r="N20" s="45"/>
      <c r="O20" s="45"/>
      <c r="P20" s="45"/>
      <c r="Q20" s="45"/>
      <c r="R20" s="45"/>
      <c r="S20" s="45"/>
      <c r="T20" s="45"/>
      <c r="U20" s="45"/>
      <c r="V20" s="45"/>
      <c r="W20" s="45"/>
      <c r="X20" s="45"/>
      <c r="Y20" s="45"/>
      <c r="Z20" s="45"/>
      <c r="AA20" s="45"/>
      <c r="AB20" s="45"/>
      <c r="AC20" s="45"/>
      <c r="AD20" s="118"/>
      <c r="AE20" s="117"/>
      <c r="AF20" s="117"/>
      <c r="AG20" s="117"/>
      <c r="AH20" s="117"/>
      <c r="AI20" s="117"/>
      <c r="AJ20" s="117"/>
      <c r="AK20" s="119"/>
      <c r="AL20" s="45"/>
      <c r="AM20" s="45"/>
      <c r="AN20" s="45"/>
      <c r="AO20" s="45"/>
      <c r="AP20" s="45"/>
      <c r="AQ20" s="45"/>
      <c r="AR20" s="45"/>
      <c r="AS20" s="45"/>
      <c r="AT20" s="45"/>
      <c r="AU20" s="45"/>
      <c r="AV20" s="45"/>
      <c r="AW20" s="45"/>
      <c r="AX20" s="45"/>
      <c r="AY20" s="61"/>
      <c r="AZ20" s="61"/>
      <c r="BA20" s="61"/>
      <c r="BB20" s="61"/>
      <c r="BC20" s="61"/>
      <c r="BD20" s="61"/>
      <c r="BE20" s="61"/>
      <c r="BF20" s="61"/>
      <c r="BG20" s="45"/>
      <c r="BH20" s="45"/>
      <c r="BI20" s="45"/>
      <c r="BJ20" s="45"/>
      <c r="BK20" s="45"/>
      <c r="BL20" s="45"/>
    </row>
    <row r="21" spans="1:70" s="41" customFormat="1" ht="30" customHeight="1" thickBot="1" x14ac:dyDescent="0.2">
      <c r="A21" s="10"/>
      <c r="B21" s="57" t="s">
        <v>29</v>
      </c>
      <c r="C21" s="99"/>
      <c r="D21" s="58"/>
      <c r="E21" s="59"/>
      <c r="F21" s="60"/>
      <c r="G21" s="92" t="str">
        <f t="shared" si="5"/>
        <v/>
      </c>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92"/>
      <c r="BB21" s="92"/>
      <c r="BC21" s="92"/>
      <c r="BD21" s="92"/>
      <c r="BE21" s="92"/>
      <c r="BF21" s="92"/>
      <c r="BG21" s="92"/>
      <c r="BH21" s="92"/>
      <c r="BI21" s="92"/>
      <c r="BJ21" s="92"/>
      <c r="BK21" s="92"/>
      <c r="BL21" s="92"/>
    </row>
    <row r="22" spans="1:70" s="41" customFormat="1" ht="30" customHeight="1" thickBot="1" x14ac:dyDescent="0.2">
      <c r="A22" s="10"/>
      <c r="B22" s="62" t="s">
        <v>30</v>
      </c>
      <c r="C22" s="100">
        <v>2</v>
      </c>
      <c r="D22" s="63">
        <v>0</v>
      </c>
      <c r="E22" s="64">
        <v>45976</v>
      </c>
      <c r="F22" s="64">
        <v>45985</v>
      </c>
      <c r="G22" s="12"/>
      <c r="H22" s="3">
        <f t="shared" si="5"/>
        <v>10</v>
      </c>
      <c r="I22" s="45"/>
      <c r="J22" s="45"/>
      <c r="K22" s="45"/>
      <c r="L22" s="45"/>
      <c r="M22" s="45"/>
      <c r="N22" s="45"/>
      <c r="O22" s="45"/>
      <c r="P22" s="45"/>
      <c r="Q22" s="45"/>
      <c r="R22" s="45"/>
      <c r="S22" s="45"/>
      <c r="T22" s="45"/>
      <c r="U22" s="45"/>
      <c r="V22" s="45"/>
      <c r="W22" s="45"/>
      <c r="X22" s="45"/>
      <c r="Y22" s="45"/>
      <c r="Z22" s="45"/>
      <c r="AA22" s="45"/>
      <c r="AB22" s="45"/>
      <c r="AC22" s="45"/>
      <c r="AD22" s="118"/>
      <c r="AE22" s="117"/>
      <c r="AF22" s="117"/>
      <c r="AG22" s="117"/>
      <c r="AH22" s="117"/>
      <c r="AI22" s="117"/>
      <c r="AJ22" s="117"/>
      <c r="AK22" s="119"/>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70" s="41" customFormat="1" ht="30" customHeight="1" thickBot="1" x14ac:dyDescent="0.2">
      <c r="A23" s="10"/>
      <c r="B23" s="62" t="s">
        <v>31</v>
      </c>
      <c r="C23" s="100">
        <v>2</v>
      </c>
      <c r="D23" s="63">
        <v>0</v>
      </c>
      <c r="E23" s="64">
        <v>45981</v>
      </c>
      <c r="F23" s="64">
        <v>45996</v>
      </c>
      <c r="G23" s="12"/>
      <c r="H23" s="3">
        <f t="shared" si="5"/>
        <v>16</v>
      </c>
      <c r="I23" s="45"/>
      <c r="J23" s="45"/>
      <c r="K23" s="45"/>
      <c r="L23" s="45"/>
      <c r="M23" s="45"/>
      <c r="N23" s="45"/>
      <c r="O23" s="45"/>
      <c r="P23" s="45"/>
      <c r="Q23" s="45"/>
      <c r="R23" s="45"/>
      <c r="S23" s="45"/>
      <c r="T23" s="45"/>
      <c r="U23" s="45"/>
      <c r="V23" s="45"/>
      <c r="W23" s="45"/>
      <c r="X23" s="45"/>
      <c r="Y23" s="45"/>
      <c r="Z23" s="45"/>
      <c r="AA23" s="45"/>
      <c r="AB23" s="45"/>
      <c r="AC23" s="45"/>
      <c r="AD23" s="118"/>
      <c r="AE23" s="117"/>
      <c r="AF23" s="117"/>
      <c r="AG23" s="117"/>
      <c r="AH23" s="117"/>
      <c r="AI23" s="117"/>
      <c r="AJ23" s="117"/>
      <c r="AK23" s="119"/>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70" s="41" customFormat="1" ht="30" customHeight="1" thickBot="1" x14ac:dyDescent="0.2">
      <c r="A24" s="10"/>
      <c r="B24" s="62" t="s">
        <v>32</v>
      </c>
      <c r="C24" s="100">
        <v>4</v>
      </c>
      <c r="D24" s="63">
        <v>0</v>
      </c>
      <c r="E24" s="64">
        <v>45972</v>
      </c>
      <c r="F24" s="64">
        <v>45981</v>
      </c>
      <c r="G24" s="12"/>
      <c r="H24" s="3"/>
      <c r="I24" s="45"/>
      <c r="J24" s="45"/>
      <c r="K24" s="45"/>
      <c r="L24" s="45"/>
      <c r="M24" s="45"/>
      <c r="N24" s="45"/>
      <c r="O24" s="45"/>
      <c r="P24" s="45"/>
      <c r="Q24" s="45"/>
      <c r="R24" s="45"/>
      <c r="S24" s="45"/>
      <c r="T24" s="45"/>
      <c r="U24" s="45"/>
      <c r="V24" s="45"/>
      <c r="W24" s="45"/>
      <c r="X24" s="45"/>
      <c r="Y24" s="45"/>
      <c r="Z24" s="45"/>
      <c r="AA24" s="45"/>
      <c r="AB24" s="45"/>
      <c r="AC24" s="45"/>
      <c r="AD24" s="118"/>
      <c r="AE24" s="117"/>
      <c r="AF24" s="117"/>
      <c r="AG24" s="117"/>
      <c r="AH24" s="117"/>
      <c r="AI24" s="117"/>
      <c r="AJ24" s="117"/>
      <c r="AK24" s="119"/>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70" s="41" customFormat="1" ht="30" customHeight="1" thickBot="1" x14ac:dyDescent="0.2">
      <c r="A25" s="10"/>
      <c r="B25" s="62" t="s">
        <v>33</v>
      </c>
      <c r="C25" s="100" t="s">
        <v>34</v>
      </c>
      <c r="D25" s="63">
        <v>0</v>
      </c>
      <c r="E25" s="64">
        <v>45982</v>
      </c>
      <c r="F25" s="64">
        <v>45962</v>
      </c>
      <c r="G25" s="12"/>
      <c r="H25" s="3"/>
      <c r="I25" s="45"/>
      <c r="J25" s="45"/>
      <c r="K25" s="45"/>
      <c r="L25" s="45"/>
      <c r="M25" s="45"/>
      <c r="N25" s="45"/>
      <c r="O25" s="45"/>
      <c r="P25" s="45"/>
      <c r="Q25" s="45"/>
      <c r="R25" s="45"/>
      <c r="S25" s="45"/>
      <c r="T25" s="45"/>
      <c r="U25" s="45"/>
      <c r="V25" s="45"/>
      <c r="W25" s="45"/>
      <c r="X25" s="45"/>
      <c r="Y25" s="45"/>
      <c r="Z25" s="45"/>
      <c r="AA25" s="45"/>
      <c r="AB25" s="45"/>
      <c r="AC25" s="45"/>
      <c r="AD25" s="118"/>
      <c r="AE25" s="117"/>
      <c r="AF25" s="117"/>
      <c r="AG25" s="117"/>
      <c r="AH25" s="117"/>
      <c r="AI25" s="117"/>
      <c r="AJ25" s="117"/>
      <c r="AK25" s="119"/>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70" s="41" customFormat="1" ht="30" customHeight="1" thickBot="1" x14ac:dyDescent="0.2">
      <c r="A26" s="10"/>
      <c r="B26" s="62" t="s">
        <v>35</v>
      </c>
      <c r="C26" s="100">
        <v>4</v>
      </c>
      <c r="D26" s="63">
        <v>0</v>
      </c>
      <c r="E26" s="64">
        <v>45982</v>
      </c>
      <c r="F26" s="64">
        <v>45994</v>
      </c>
      <c r="G26" s="12"/>
      <c r="H26" s="3"/>
      <c r="I26" s="45"/>
      <c r="J26" s="45"/>
      <c r="K26" s="45"/>
      <c r="L26" s="45"/>
      <c r="M26" s="45"/>
      <c r="N26" s="45"/>
      <c r="O26" s="45"/>
      <c r="P26" s="45"/>
      <c r="Q26" s="45"/>
      <c r="R26" s="45"/>
      <c r="S26" s="45"/>
      <c r="T26" s="45"/>
      <c r="U26" s="45"/>
      <c r="V26" s="45"/>
      <c r="W26" s="45"/>
      <c r="X26" s="45"/>
      <c r="Y26" s="45"/>
      <c r="Z26" s="45"/>
      <c r="AA26" s="45"/>
      <c r="AB26" s="45"/>
      <c r="AC26" s="45"/>
      <c r="AD26" s="118"/>
      <c r="AE26" s="117"/>
      <c r="AF26" s="117"/>
      <c r="AG26" s="117"/>
      <c r="AH26" s="117"/>
      <c r="AI26" s="117"/>
      <c r="AJ26" s="117"/>
      <c r="AK26" s="119"/>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row>
    <row r="27" spans="1:70" s="41" customFormat="1" ht="30" customHeight="1" thickBot="1" x14ac:dyDescent="0.2">
      <c r="A27" s="10"/>
      <c r="B27" s="62" t="s">
        <v>36</v>
      </c>
      <c r="C27" s="100">
        <v>4</v>
      </c>
      <c r="D27" s="63">
        <v>0</v>
      </c>
      <c r="E27" s="64">
        <v>45992</v>
      </c>
      <c r="F27" s="64">
        <v>45998</v>
      </c>
      <c r="G27" s="12"/>
      <c r="H27" s="3"/>
      <c r="I27" s="45"/>
      <c r="J27" s="45"/>
      <c r="K27" s="45"/>
      <c r="L27" s="45"/>
      <c r="M27" s="45"/>
      <c r="N27" s="45"/>
      <c r="O27" s="45"/>
      <c r="P27" s="45"/>
      <c r="Q27" s="45"/>
      <c r="R27" s="45"/>
      <c r="S27" s="45"/>
      <c r="T27" s="45"/>
      <c r="U27" s="45"/>
      <c r="V27" s="45"/>
      <c r="W27" s="45"/>
      <c r="X27" s="45"/>
      <c r="Y27" s="45"/>
      <c r="Z27" s="45"/>
      <c r="AA27" s="45"/>
      <c r="AB27" s="45"/>
      <c r="AC27" s="45"/>
      <c r="AD27" s="118"/>
      <c r="AE27" s="117"/>
      <c r="AF27" s="117"/>
      <c r="AG27" s="117"/>
      <c r="AH27" s="117"/>
      <c r="AI27" s="117"/>
      <c r="AJ27" s="117"/>
      <c r="AK27" s="119"/>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70" s="41" customFormat="1" ht="30" customHeight="1" thickBot="1" x14ac:dyDescent="0.2">
      <c r="A28" s="10"/>
      <c r="B28" s="62" t="s">
        <v>37</v>
      </c>
      <c r="C28" s="100" t="s">
        <v>34</v>
      </c>
      <c r="D28" s="63">
        <v>0</v>
      </c>
      <c r="E28" s="64">
        <v>45992</v>
      </c>
      <c r="F28" s="64">
        <v>45998</v>
      </c>
      <c r="G28" s="12"/>
      <c r="H28" s="3">
        <f t="shared" si="5"/>
        <v>7</v>
      </c>
      <c r="I28" s="45"/>
      <c r="J28" s="45"/>
      <c r="K28" s="45"/>
      <c r="L28" s="45"/>
      <c r="M28" s="45"/>
      <c r="N28" s="45"/>
      <c r="O28" s="45"/>
      <c r="P28" s="45"/>
      <c r="Q28" s="45"/>
      <c r="R28" s="45"/>
      <c r="S28" s="45"/>
      <c r="T28" s="45"/>
      <c r="U28" s="45"/>
      <c r="V28" s="45"/>
      <c r="W28" s="45"/>
      <c r="X28" s="45"/>
      <c r="Y28" s="45"/>
      <c r="Z28" s="45"/>
      <c r="AA28" s="45"/>
      <c r="AB28" s="45"/>
      <c r="AC28" s="45"/>
      <c r="AD28" s="118"/>
      <c r="AE28" s="117"/>
      <c r="AF28" s="117"/>
      <c r="AG28" s="117"/>
      <c r="AH28" s="117"/>
      <c r="AI28" s="117"/>
      <c r="AJ28" s="117"/>
      <c r="AK28" s="119"/>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row>
    <row r="29" spans="1:70" s="41" customFormat="1" ht="30" customHeight="1" thickBot="1" x14ac:dyDescent="0.2">
      <c r="A29" s="10"/>
      <c r="B29" s="62" t="s">
        <v>38</v>
      </c>
      <c r="C29" s="100" t="s">
        <v>16</v>
      </c>
      <c r="D29" s="63">
        <v>0</v>
      </c>
      <c r="E29" s="64">
        <v>45999</v>
      </c>
      <c r="F29" s="64">
        <v>46005</v>
      </c>
      <c r="G29" s="12"/>
      <c r="H29" s="3">
        <f t="shared" si="5"/>
        <v>7</v>
      </c>
      <c r="I29" s="45"/>
      <c r="J29" s="45"/>
      <c r="K29" s="45"/>
      <c r="L29" s="45"/>
      <c r="M29" s="45"/>
      <c r="N29" s="45"/>
      <c r="O29" s="45"/>
      <c r="P29" s="45"/>
      <c r="Q29" s="45"/>
      <c r="R29" s="45"/>
      <c r="S29" s="45"/>
      <c r="T29" s="45"/>
      <c r="U29" s="45"/>
      <c r="V29" s="45"/>
      <c r="W29" s="45"/>
      <c r="X29" s="45"/>
      <c r="Y29" s="45"/>
      <c r="Z29" s="45"/>
      <c r="AA29" s="45"/>
      <c r="AB29" s="45"/>
      <c r="AC29" s="45"/>
      <c r="AD29" s="118"/>
      <c r="AE29" s="117"/>
      <c r="AF29" s="117"/>
      <c r="AG29" s="117"/>
      <c r="AH29" s="117"/>
      <c r="AI29" s="117"/>
      <c r="AJ29" s="117"/>
      <c r="AK29" s="119"/>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70" s="41" customFormat="1" ht="30" customHeight="1" thickBot="1" x14ac:dyDescent="0.2">
      <c r="A30" s="10"/>
      <c r="B30" s="62" t="s">
        <v>27</v>
      </c>
      <c r="C30" s="100" t="s">
        <v>39</v>
      </c>
      <c r="D30" s="63">
        <v>0</v>
      </c>
      <c r="E30" s="64">
        <v>45999</v>
      </c>
      <c r="F30" s="64">
        <v>46005</v>
      </c>
      <c r="G30" s="12"/>
      <c r="H30" s="3">
        <f t="shared" si="5"/>
        <v>7</v>
      </c>
      <c r="I30" s="45"/>
      <c r="J30" s="45"/>
      <c r="K30" s="45"/>
      <c r="L30" s="45"/>
      <c r="M30" s="45"/>
      <c r="N30" s="45"/>
      <c r="O30" s="45"/>
      <c r="P30" s="45"/>
      <c r="Q30" s="45"/>
      <c r="R30" s="45"/>
      <c r="S30" s="45"/>
      <c r="T30" s="45"/>
      <c r="U30" s="45"/>
      <c r="V30" s="45"/>
      <c r="W30" s="45"/>
      <c r="X30" s="45"/>
      <c r="Y30" s="45"/>
      <c r="Z30" s="45"/>
      <c r="AA30" s="45"/>
      <c r="AB30" s="45"/>
      <c r="AC30" s="45"/>
      <c r="AD30" s="118"/>
      <c r="AE30" s="117"/>
      <c r="AF30" s="117"/>
      <c r="AG30" s="117"/>
      <c r="AH30" s="117"/>
      <c r="AI30" s="117"/>
      <c r="AJ30" s="117"/>
      <c r="AK30" s="119"/>
      <c r="AL30" s="45"/>
      <c r="AM30" s="45"/>
      <c r="AN30" s="45"/>
      <c r="AO30" s="45"/>
      <c r="AP30" s="45"/>
      <c r="AQ30" s="45"/>
      <c r="AR30" s="45"/>
      <c r="AS30" s="45"/>
      <c r="AT30" s="45"/>
      <c r="AU30" s="45"/>
      <c r="AV30" s="45"/>
      <c r="AW30" s="45"/>
      <c r="AX30" s="45"/>
      <c r="AY30" s="69"/>
      <c r="AZ30" s="69"/>
      <c r="BA30" s="69"/>
      <c r="BB30" s="69"/>
      <c r="BC30" s="69"/>
      <c r="BD30" s="69"/>
      <c r="BE30" s="69"/>
      <c r="BF30" s="69"/>
      <c r="BG30" s="45"/>
      <c r="BH30" s="45"/>
      <c r="BI30" s="45"/>
      <c r="BJ30" s="45"/>
      <c r="BK30" s="45"/>
      <c r="BL30" s="45"/>
    </row>
    <row r="31" spans="1:70" s="41" customFormat="1" ht="30" customHeight="1" thickBot="1" x14ac:dyDescent="0.2">
      <c r="A31" s="10"/>
      <c r="B31" s="65" t="s">
        <v>40</v>
      </c>
      <c r="C31" s="101"/>
      <c r="D31" s="66"/>
      <c r="E31" s="67"/>
      <c r="F31" s="68"/>
      <c r="G31" s="92" t="str">
        <f t="shared" si="5"/>
        <v/>
      </c>
      <c r="H31" s="92"/>
      <c r="I31" s="92"/>
      <c r="J31" s="92"/>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92"/>
      <c r="BB31" s="92"/>
      <c r="BC31" s="92"/>
      <c r="BD31" s="92"/>
      <c r="BE31" s="92"/>
      <c r="BF31" s="92"/>
      <c r="BG31" s="92"/>
      <c r="BH31" s="92"/>
      <c r="BI31" s="92"/>
      <c r="BJ31" s="92"/>
      <c r="BK31" s="92"/>
      <c r="BL31" s="92"/>
    </row>
    <row r="32" spans="1:70" s="41" customFormat="1" ht="30" customHeight="1" x14ac:dyDescent="0.15">
      <c r="A32" s="10"/>
      <c r="B32" s="70" t="s">
        <v>41</v>
      </c>
      <c r="C32" s="102" t="s">
        <v>16</v>
      </c>
      <c r="D32" s="71">
        <v>0</v>
      </c>
      <c r="E32" s="72">
        <v>46005</v>
      </c>
      <c r="F32" s="72">
        <v>46007</v>
      </c>
      <c r="G32" s="12"/>
      <c r="H32" s="3">
        <f t="shared" si="5"/>
        <v>3</v>
      </c>
      <c r="I32" s="45"/>
      <c r="J32" s="45"/>
      <c r="K32" s="45"/>
      <c r="L32" s="45"/>
      <c r="M32" s="45"/>
      <c r="N32" s="45"/>
      <c r="O32" s="45"/>
      <c r="P32" s="45"/>
      <c r="Q32" s="45"/>
      <c r="R32" s="45"/>
      <c r="S32" s="45"/>
      <c r="T32" s="45"/>
      <c r="U32" s="45"/>
      <c r="V32" s="45"/>
      <c r="W32" s="45"/>
      <c r="X32" s="45"/>
      <c r="Y32" s="45"/>
      <c r="Z32" s="45"/>
      <c r="AA32" s="45"/>
      <c r="AB32" s="45"/>
      <c r="AC32" s="45"/>
      <c r="AD32" s="118"/>
      <c r="AE32" s="117"/>
      <c r="AF32" s="117"/>
      <c r="AG32" s="117"/>
      <c r="AH32" s="117"/>
      <c r="AI32" s="117"/>
      <c r="AJ32" s="117"/>
      <c r="AK32" s="119"/>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7" s="41" customFormat="1" ht="30" customHeight="1" x14ac:dyDescent="0.15">
      <c r="A33" s="10"/>
      <c r="B33" s="70" t="s">
        <v>27</v>
      </c>
      <c r="C33" s="102" t="s">
        <v>16</v>
      </c>
      <c r="D33" s="71">
        <v>0</v>
      </c>
      <c r="E33" s="72">
        <v>45999</v>
      </c>
      <c r="F33" s="72">
        <v>46006</v>
      </c>
      <c r="G33" s="12"/>
      <c r="H33" s="3">
        <f t="shared" si="5"/>
        <v>8</v>
      </c>
      <c r="I33" s="45"/>
      <c r="J33" s="45"/>
      <c r="K33" s="45"/>
      <c r="L33" s="45"/>
      <c r="M33" s="45"/>
      <c r="N33" s="45"/>
      <c r="O33" s="45"/>
      <c r="P33" s="45"/>
      <c r="Q33" s="45"/>
      <c r="R33" s="45"/>
      <c r="S33" s="45"/>
      <c r="T33" s="45"/>
      <c r="U33" s="45"/>
      <c r="V33" s="45"/>
      <c r="W33" s="45"/>
      <c r="X33" s="45"/>
      <c r="Y33" s="45"/>
      <c r="Z33" s="45"/>
      <c r="AA33" s="45"/>
      <c r="AB33" s="45"/>
      <c r="AC33" s="45"/>
      <c r="AD33" s="118"/>
      <c r="AE33" s="117"/>
      <c r="AF33" s="117"/>
      <c r="AG33" s="117"/>
      <c r="AH33" s="117"/>
      <c r="AI33" s="117"/>
      <c r="AJ33" s="117"/>
      <c r="AK33" s="119"/>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row>
    <row r="34" spans="1:67" s="41" customFormat="1" ht="30" customHeight="1" x14ac:dyDescent="0.15">
      <c r="A34" s="10"/>
      <c r="B34" s="73"/>
      <c r="C34" s="74"/>
      <c r="D34" s="75"/>
      <c r="E34" s="76"/>
      <c r="F34" s="76"/>
      <c r="G34" s="12"/>
      <c r="H34" s="3" t="str">
        <f t="shared" si="5"/>
        <v/>
      </c>
      <c r="I34" s="45"/>
      <c r="J34" s="45"/>
      <c r="K34" s="45"/>
      <c r="L34" s="45"/>
      <c r="M34" s="45"/>
      <c r="N34" s="45"/>
      <c r="O34" s="45"/>
      <c r="P34" s="45"/>
      <c r="Q34" s="45"/>
      <c r="R34" s="45"/>
      <c r="S34" s="45"/>
      <c r="T34" s="45"/>
      <c r="U34" s="45"/>
      <c r="V34" s="45"/>
      <c r="W34" s="45"/>
      <c r="X34" s="45"/>
      <c r="Y34" s="45"/>
      <c r="Z34" s="45"/>
      <c r="AA34" s="45"/>
      <c r="AB34" s="45"/>
      <c r="AC34" s="45"/>
      <c r="AD34" s="118"/>
      <c r="AE34" s="117"/>
      <c r="AF34" s="117"/>
      <c r="AG34" s="117"/>
      <c r="AH34" s="117"/>
      <c r="AI34" s="117"/>
      <c r="AJ34" s="117"/>
      <c r="AK34" s="119"/>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row>
    <row r="35" spans="1:67" s="41" customFormat="1" ht="30" customHeight="1" x14ac:dyDescent="0.15">
      <c r="A35" s="10"/>
      <c r="B35" s="77" t="s">
        <v>42</v>
      </c>
      <c r="C35" s="78"/>
      <c r="D35" s="79"/>
      <c r="E35" s="80"/>
      <c r="F35" s="81"/>
      <c r="G35" s="92" t="str">
        <f t="shared" si="5"/>
        <v/>
      </c>
      <c r="H35" s="92"/>
      <c r="I35" s="92"/>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92"/>
      <c r="BB35" s="92"/>
      <c r="BC35" s="92"/>
      <c r="BD35" s="92"/>
      <c r="BE35" s="92"/>
      <c r="BF35" s="92"/>
      <c r="BG35" s="92"/>
      <c r="BH35" s="92"/>
      <c r="BI35" s="92"/>
      <c r="BJ35" s="92"/>
      <c r="BK35" s="92"/>
      <c r="BL35" s="93"/>
    </row>
    <row r="36" spans="1:67" s="41" customFormat="1" ht="30" customHeight="1" x14ac:dyDescent="0.15">
      <c r="A36" s="11"/>
      <c r="B36"/>
      <c r="C36"/>
      <c r="D36"/>
      <c r="E36" s="2"/>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row>
  </sheetData>
  <mergeCells count="18">
    <mergeCell ref="Q2:Z2"/>
    <mergeCell ref="Q1:Z1"/>
    <mergeCell ref="I1:O1"/>
    <mergeCell ref="I2:O2"/>
    <mergeCell ref="BF4:BL4"/>
    <mergeCell ref="I4:O4"/>
    <mergeCell ref="P4:V4"/>
    <mergeCell ref="W4:AC4"/>
    <mergeCell ref="AD4:AJ4"/>
    <mergeCell ref="AK4:AQ4"/>
    <mergeCell ref="AR4:AX4"/>
    <mergeCell ref="AY4:BE4"/>
    <mergeCell ref="A5:A6"/>
    <mergeCell ref="B5:B6"/>
    <mergeCell ref="C5:C6"/>
    <mergeCell ref="D5:D6"/>
    <mergeCell ref="E5:E6"/>
    <mergeCell ref="F5:F6"/>
  </mergeCells>
  <conditionalFormatting sqref="D7:D35">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7 I22:AJ30 I32:AJ34 I8:AE8 AK8:BL11 I9:AJ11 I13:AJ20 AE16 AK22:BL30 AK13:BL20 AE20 AE24 AE28 AK32:BL34 AE32">
    <cfRule type="expression" dxfId="8" priority="1" stopIfTrue="1">
      <formula>AND(TODAY()&gt;=I$5, TODAY()&lt;J$5)</formula>
    </cfRule>
  </conditionalFormatting>
  <conditionalFormatting sqref="I9:AD11 AK9:BL11">
    <cfRule type="expression" dxfId="7" priority="6">
      <formula>AND(task_start&lt;=I$5,ROUNDDOWN((task_end-task_start+1)*task_progress,0)+task_start-1&gt;=I$5)</formula>
    </cfRule>
  </conditionalFormatting>
  <conditionalFormatting sqref="BG22:BL30 I22:AJ30 AY22:BF29 AK22:AX30">
    <cfRule type="expression" dxfId="6" priority="2">
      <formula>AND(task_start&lt;=I$5,ROUNDDOWN((task_end-task_start+1)*task_progress,0)+task_start-1&gt;=I$5)</formula>
    </cfRule>
  </conditionalFormatting>
  <conditionalFormatting sqref="I32:AD34 AK32:BL34">
    <cfRule type="expression" dxfId="5" priority="36">
      <formula>AND(task_start&lt;=I$5,ROUNDDOWN((task_end-task_start+1)*task_progress,0)+task_start-1&gt;=I$5)</formula>
    </cfRule>
  </conditionalFormatting>
  <conditionalFormatting sqref="BG13:BL20 I13:AJ20 AK13:BF19 AK20:AX20">
    <cfRule type="expression" dxfId="4" priority="5" stopIfTrue="1">
      <formula>AND(task_end&gt;=I$5,task_start&lt;J$5)</formula>
    </cfRule>
    <cfRule type="expression" dxfId="3" priority="4">
      <formula>AND(task_start&lt;=I$5,ROUNDDOWN((task_end-task_start+1)*task_progress,0)+task_start-1&gt;=I$5)</formula>
    </cfRule>
  </conditionalFormatting>
  <conditionalFormatting sqref="BG22:BL30 AY22:BF29 I22:AX30">
    <cfRule type="expression" dxfId="2" priority="3" stopIfTrue="1">
      <formula>AND(task_end&gt;=I$5,task_start&lt;J$5)</formula>
    </cfRule>
  </conditionalFormatting>
  <conditionalFormatting sqref="I9:BL11">
    <cfRule type="expression" dxfId="1" priority="7" stopIfTrue="1">
      <formula>AND(task_end&gt;=I$5,task_start&lt;J$5)</formula>
    </cfRule>
  </conditionalFormatting>
  <conditionalFormatting sqref="I32:BL34">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3" xr:uid="{956902D1-D3B5-416D-BB69-9362D193BC0A}"/>
    <dataValidation allowBlank="1" showInputMessage="1" showErrorMessage="1" prompt="Phase 4's sample block starts in cell B26." sqref="A3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6"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baseColWidth="10" defaultColWidth="9" defaultRowHeight="13" x14ac:dyDescent="0.15"/>
  <cols>
    <col min="1" max="1" width="87" style="4" customWidth="1"/>
    <col min="2" max="16384" width="9" style="1"/>
  </cols>
  <sheetData>
    <row r="1" spans="1:2" ht="46.5" customHeight="1" x14ac:dyDescent="0.15"/>
    <row r="2" spans="1:2" s="6" customFormat="1" ht="16" x14ac:dyDescent="0.15">
      <c r="A2" s="84" t="s">
        <v>5</v>
      </c>
      <c r="B2" s="5"/>
    </row>
    <row r="3" spans="1:2" s="8" customFormat="1" ht="27" customHeight="1" x14ac:dyDescent="0.15">
      <c r="A3" s="85"/>
      <c r="B3" s="9"/>
    </row>
    <row r="4" spans="1:2" s="7" customFormat="1" ht="31" x14ac:dyDescent="0.45">
      <c r="A4" s="86" t="s">
        <v>43</v>
      </c>
    </row>
    <row r="5" spans="1:2" ht="74.25" customHeight="1" x14ac:dyDescent="0.15">
      <c r="A5" s="87" t="s">
        <v>44</v>
      </c>
    </row>
    <row r="6" spans="1:2" ht="26.25" customHeight="1" x14ac:dyDescent="0.15">
      <c r="A6" s="86" t="s">
        <v>45</v>
      </c>
    </row>
    <row r="7" spans="1:2" s="4" customFormat="1" ht="205" customHeight="1" x14ac:dyDescent="0.15">
      <c r="A7" s="88" t="s">
        <v>46</v>
      </c>
    </row>
    <row r="8" spans="1:2" s="7" customFormat="1" ht="31" x14ac:dyDescent="0.45">
      <c r="A8" s="86" t="s">
        <v>47</v>
      </c>
    </row>
    <row r="9" spans="1:2" ht="60" x14ac:dyDescent="0.15">
      <c r="A9" s="87" t="s">
        <v>48</v>
      </c>
    </row>
    <row r="10" spans="1:2" s="4" customFormat="1" ht="28" customHeight="1" x14ac:dyDescent="0.15">
      <c r="A10" s="89" t="s">
        <v>49</v>
      </c>
    </row>
    <row r="11" spans="1:2" s="7" customFormat="1" ht="31" x14ac:dyDescent="0.45">
      <c r="A11" s="86" t="s">
        <v>50</v>
      </c>
    </row>
    <row r="12" spans="1:2" ht="30" x14ac:dyDescent="0.15">
      <c r="A12" s="87" t="s">
        <v>51</v>
      </c>
    </row>
    <row r="13" spans="1:2" s="4" customFormat="1" ht="28" customHeight="1" x14ac:dyDescent="0.15">
      <c r="A13" s="89" t="s">
        <v>52</v>
      </c>
    </row>
    <row r="14" spans="1:2" s="7" customFormat="1" ht="31" x14ac:dyDescent="0.45">
      <c r="A14" s="86" t="s">
        <v>53</v>
      </c>
    </row>
    <row r="15" spans="1:2" ht="75" customHeight="1" x14ac:dyDescent="0.15">
      <c r="A15" s="87" t="s">
        <v>54</v>
      </c>
    </row>
    <row r="16" spans="1:2" ht="75" x14ac:dyDescent="0.15">
      <c r="A16" s="87" t="s">
        <v>55</v>
      </c>
    </row>
    <row r="17" spans="1:1" x14ac:dyDescent="0.15">
      <c r="A17" s="90"/>
    </row>
    <row r="18" spans="1:1" x14ac:dyDescent="0.15">
      <c r="A18" s="90"/>
    </row>
    <row r="19" spans="1:1" x14ac:dyDescent="0.15">
      <c r="A19" s="90"/>
    </row>
    <row r="20" spans="1:1" x14ac:dyDescent="0.15">
      <c r="A20" s="90"/>
    </row>
    <row r="21" spans="1:1" x14ac:dyDescent="0.15">
      <c r="A21" s="90"/>
    </row>
    <row r="22" spans="1:1" x14ac:dyDescent="0.15">
      <c r="A22" s="90"/>
    </row>
    <row r="23" spans="1:1" x14ac:dyDescent="0.15">
      <c r="A23" s="90"/>
    </row>
    <row r="24" spans="1:1" x14ac:dyDescent="0.15">
      <c r="A24" s="9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09dbab-ad14-4e96-b913-ad93b0a8de06">
      <Terms xmlns="http://schemas.microsoft.com/office/infopath/2007/PartnerControls"/>
    </lcf76f155ced4ddcb4097134ff3c332f>
    <TaxCatchAll xmlns="241cd4cf-1da1-4697-b37a-747d4ead132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7E93DD91720E4DA140048F631941BA" ma:contentTypeVersion="10" ma:contentTypeDescription="Create a new document." ma:contentTypeScope="" ma:versionID="bbfcd7b7556182663ee5ba0a690cdfbe">
  <xsd:schema xmlns:xsd="http://www.w3.org/2001/XMLSchema" xmlns:xs="http://www.w3.org/2001/XMLSchema" xmlns:p="http://schemas.microsoft.com/office/2006/metadata/properties" xmlns:ns2="1a09dbab-ad14-4e96-b913-ad93b0a8de06" xmlns:ns3="241cd4cf-1da1-4697-b37a-747d4ead1324" targetNamespace="http://schemas.microsoft.com/office/2006/metadata/properties" ma:root="true" ma:fieldsID="48deb3e2e6c57d3ea0a037dabe56bd0b" ns2:_="" ns3:_="">
    <xsd:import namespace="1a09dbab-ad14-4e96-b913-ad93b0a8de06"/>
    <xsd:import namespace="241cd4cf-1da1-4697-b37a-747d4ead13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9dbab-ad14-4e96-b913-ad93b0a8de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6c5a7a2-5188-4fbb-a166-ba639475f47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41cd4cf-1da1-4697-b37a-747d4ead132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d01d082-4b1e-436a-89c8-72b08e454b5b}" ma:internalName="TaxCatchAll" ma:showField="CatchAllData" ma:web="241cd4cf-1da1-4697-b37a-747d4ead13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terms/"/>
    <ds:schemaRef ds:uri="http://schemas.microsoft.com/office/2006/metadata/properties"/>
    <ds:schemaRef ds:uri="http://purl.org/dc/elements/1.1/"/>
    <ds:schemaRef ds:uri="http://schemas.microsoft.com/office/2006/documentManagement/types"/>
    <ds:schemaRef ds:uri="1a09dbab-ad14-4e96-b913-ad93b0a8de06"/>
    <ds:schemaRef ds:uri="http://purl.org/dc/dcmitype/"/>
    <ds:schemaRef ds:uri="http://schemas.microsoft.com/office/infopath/2007/PartnerControls"/>
    <ds:schemaRef ds:uri="http://schemas.openxmlformats.org/package/2006/metadata/core-properties"/>
    <ds:schemaRef ds:uri="241cd4cf-1da1-4697-b37a-747d4ead1324"/>
    <ds:schemaRef ds:uri="http://www.w3.org/XML/1998/namespace"/>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F96386BE-D322-46BB-9288-6EA50C9CA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09dbab-ad14-4e96-b913-ad93b0a8de06"/>
    <ds:schemaRef ds:uri="241cd4cf-1da1-4697-b37a-747d4ead13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356cb1e-6d86-4dae-a983-fa46a00b040a}" enabled="1" method="Standard" siteId="{4881a8fa-b252-4912-b93a-7806c41bbe91}" removed="0"/>
</clbl:labelList>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Doryan Acosta Palmeros</dc:creator>
  <cp:keywords/>
  <dc:description/>
  <cp:lastModifiedBy>Doryan Acosta Palmeros</cp:lastModifiedBy>
  <cp:revision/>
  <dcterms:created xsi:type="dcterms:W3CDTF">2022-03-11T22:41:12Z</dcterms:created>
  <dcterms:modified xsi:type="dcterms:W3CDTF">2025-11-12T02:06:21Z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0x010100977E93DD91720E4DA140048F631941BA</vt:lpwstr>
  </property>
  <property fmtid="{D5CDD505-2E9C-101B-9397-08002B2CF9AE}" pid="3" name="MediaServiceImageTags">
    <vt:lpwstr/>
  </property>
</Properties>
</file>